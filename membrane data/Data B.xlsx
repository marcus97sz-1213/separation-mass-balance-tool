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c922c6a9738126/Documents/Desktop/SepCal_Portfolio/membrane data/"/>
    </mc:Choice>
  </mc:AlternateContent>
  <xr:revisionPtr revIDLastSave="1082" documentId="8_{63BB88E1-C96F-4B77-90D6-AA10A8B356C7}" xr6:coauthVersionLast="47" xr6:coauthVersionMax="47" xr10:uidLastSave="{E87D806A-0274-4C5D-B00B-93DD80A3DF38}"/>
  <bookViews>
    <workbookView xWindow="-98" yWindow="-98" windowWidth="19396" windowHeight="11475" firstSheet="1" activeTab="1" xr2:uid="{E2CC0F47-E825-4DEB-9B1B-F03884B08825}"/>
  </bookViews>
  <sheets>
    <sheet name="Viscosity" sheetId="1" state="hidden" r:id="rId1"/>
    <sheet name="flux_rejec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</calcChain>
</file>

<file path=xl/sharedStrings.xml><?xml version="1.0" encoding="utf-8"?>
<sst xmlns="http://schemas.openxmlformats.org/spreadsheetml/2006/main" count="18" uniqueCount="16">
  <si>
    <t>Viscosity of Canola Oil Hexane Mixture</t>
  </si>
  <si>
    <t>Temperature
(˚C)</t>
  </si>
  <si>
    <t>Palm Oil
Dynamic Viscosity
(cP)</t>
  </si>
  <si>
    <t>Acetone
 Dynamic Viscosity
(cP)</t>
  </si>
  <si>
    <t>Palm Oil Density (kg/m3)</t>
  </si>
  <si>
    <t>Acetone 
Density
(kg/m3)</t>
  </si>
  <si>
    <t>Assuming ideal mixture</t>
  </si>
  <si>
    <r>
      <t xml:space="preserve"> at 45</t>
    </r>
    <r>
      <rPr>
        <sz val="11"/>
        <color theme="1"/>
        <rFont val="Calibri"/>
        <family val="2"/>
      </rPr>
      <t>˚C</t>
    </r>
  </si>
  <si>
    <r>
      <t xml:space="preserve"> at 50</t>
    </r>
    <r>
      <rPr>
        <sz val="11"/>
        <color theme="1"/>
        <rFont val="Calibri"/>
        <family val="2"/>
      </rPr>
      <t>˚C</t>
    </r>
  </si>
  <si>
    <t>Oil Content (wt%)</t>
  </si>
  <si>
    <t>Mixture Dynamic Viscosity
(cP)</t>
  </si>
  <si>
    <r>
      <t>Mixture Density (kg/m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</si>
  <si>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t>Average Rejection</t>
  </si>
  <si>
    <t>Pressure (bar)</t>
  </si>
  <si>
    <t>Flux (LMH)</t>
  </si>
  <si>
    <t>Solute Concentration 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</si>
</sst>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5" xfId="1" applyNumberFormat="1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04D0C-B783-4DA5-BFD5-3CF4A4C9D2BE}" name="Flux_Rejection" displayName="Flux_Rejection" ref="A1:D13" totalsRowShown="0" headerRowDxfId="6" dataDxfId="5" tableBorderDxfId="4">
  <autoFilter ref="A1:D13" xr:uid="{C4D04D0C-B783-4DA5-BFD5-3CF4A4C9D2BE}"/>
  <sortState xmlns:xlrd2="http://schemas.microsoft.com/office/spreadsheetml/2017/richdata2" ref="A2:D13">
    <sortCondition ref="A1:A13"/>
  </sortState>
  <tableColumns count="4">
    <tableColumn id="1" xr3:uid="{F2CC434B-408C-4361-9F35-438F4970F55D}" name="Solute Concentration (wt%)" dataDxfId="3" dataCellStyle="Percent"/>
    <tableColumn id="4" xr3:uid="{A358C8D0-3F7F-4F80-81FB-490F029D33EB}" name="Pressure (bar)" dataDxfId="2" dataCellStyle="Percent"/>
    <tableColumn id="2" xr3:uid="{2398EED4-6EC3-4757-8A72-2699F2F2F9FC}" name="Flux (LMH)" dataDxfId="1"/>
    <tableColumn id="3" xr3:uid="{813B0775-7352-499A-A681-B21820681ED9}" name="Average Reje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215B-FF93-43F3-ACA9-5A66F4C9CA25}">
  <sheetPr codeName="Sheet1"/>
  <dimension ref="B1:F20"/>
  <sheetViews>
    <sheetView workbookViewId="0">
      <selection activeCell="D11" sqref="D11"/>
    </sheetView>
  </sheetViews>
  <sheetFormatPr defaultRowHeight="14.25" x14ac:dyDescent="0.45"/>
  <sheetData>
    <row r="1" spans="2:6" ht="14.65" thickBot="1" x14ac:dyDescent="0.5"/>
    <row r="2" spans="2:6" x14ac:dyDescent="0.45">
      <c r="B2" s="30" t="s">
        <v>0</v>
      </c>
      <c r="C2" s="31"/>
      <c r="D2" s="31"/>
      <c r="E2" s="31"/>
      <c r="F2" s="32"/>
    </row>
    <row r="3" spans="2:6" ht="57" x14ac:dyDescent="0.45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spans="2:6" x14ac:dyDescent="0.45">
      <c r="B4" s="14">
        <v>45</v>
      </c>
      <c r="C4" s="15">
        <v>28.68</v>
      </c>
      <c r="D4" s="5">
        <v>0.25825000000000004</v>
      </c>
      <c r="E4" s="16">
        <v>877.5</v>
      </c>
      <c r="F4" s="17">
        <v>762</v>
      </c>
    </row>
    <row r="5" spans="2:6" ht="14.65" thickBot="1" x14ac:dyDescent="0.5">
      <c r="B5" s="18">
        <v>50</v>
      </c>
      <c r="C5" s="19">
        <v>23.68</v>
      </c>
      <c r="D5" s="10">
        <v>0.2475</v>
      </c>
      <c r="E5" s="19">
        <v>875.1</v>
      </c>
      <c r="F5" s="20">
        <v>756</v>
      </c>
    </row>
    <row r="6" spans="2:6" ht="14.65" thickBot="1" x14ac:dyDescent="0.5"/>
    <row r="7" spans="2:6" x14ac:dyDescent="0.45">
      <c r="B7" s="25" t="s">
        <v>6</v>
      </c>
      <c r="C7" s="26"/>
      <c r="D7" s="26"/>
      <c r="E7" s="26"/>
      <c r="F7" s="27"/>
    </row>
    <row r="8" spans="2:6" x14ac:dyDescent="0.45">
      <c r="B8" s="1"/>
      <c r="C8" s="28" t="s">
        <v>7</v>
      </c>
      <c r="D8" s="28"/>
      <c r="E8" s="28" t="s">
        <v>8</v>
      </c>
      <c r="F8" s="29"/>
    </row>
    <row r="9" spans="2:6" ht="57" x14ac:dyDescent="0.45">
      <c r="B9" s="2" t="s">
        <v>9</v>
      </c>
      <c r="C9" s="3" t="s">
        <v>10</v>
      </c>
      <c r="D9" s="3" t="s">
        <v>11</v>
      </c>
      <c r="E9" s="3" t="s">
        <v>10</v>
      </c>
      <c r="F9" s="4" t="s">
        <v>11</v>
      </c>
    </row>
    <row r="10" spans="2:6" x14ac:dyDescent="0.45">
      <c r="B10" s="1">
        <v>0</v>
      </c>
      <c r="C10" s="5">
        <f t="shared" ref="C10:C20" si="0">EXP((B10/100)*LN($C$4)+(100-B10)/100*LN($D$4))</f>
        <v>0.25825000000000004</v>
      </c>
      <c r="D10" s="6">
        <f>1/((B10/100/$E$4)+((100-B10)/100)/$F$4)</f>
        <v>762</v>
      </c>
      <c r="E10" s="7">
        <f t="shared" ref="E10:E20" si="1">EXP((B10/100)*LN($C$5)+(100-B10)/100*LN($D$5))</f>
        <v>0.24749999999999997</v>
      </c>
      <c r="F10" s="8">
        <f>1/((B10/100/$E$5)+((100-B10)/100)/$F$5)</f>
        <v>756</v>
      </c>
    </row>
    <row r="11" spans="2:6" x14ac:dyDescent="0.45">
      <c r="B11" s="1">
        <v>10</v>
      </c>
      <c r="C11" s="5">
        <f t="shared" si="0"/>
        <v>0.41361303004329453</v>
      </c>
      <c r="D11" s="6">
        <f t="shared" ref="D11:D20" si="2">1/((B11/100/$E$4)+((100-B11)/100)/$F$4)</f>
        <v>772.16351983370873</v>
      </c>
      <c r="E11" s="7">
        <f t="shared" si="1"/>
        <v>0.39053130507334854</v>
      </c>
      <c r="F11" s="8">
        <f t="shared" ref="F11:F20" si="3">1/((B11/100/$E$5)+((100-B11)/100)/$F$5)</f>
        <v>766.43102908977164</v>
      </c>
    </row>
    <row r="12" spans="2:6" x14ac:dyDescent="0.45">
      <c r="B12" s="1">
        <v>20</v>
      </c>
      <c r="C12" s="5">
        <f t="shared" si="0"/>
        <v>0.6624423567147929</v>
      </c>
      <c r="D12" s="6">
        <f t="shared" si="2"/>
        <v>782.6018258426966</v>
      </c>
      <c r="E12" s="7">
        <f t="shared" si="1"/>
        <v>0.61622101107997096</v>
      </c>
      <c r="F12" s="8">
        <f t="shared" si="3"/>
        <v>777.15393290104316</v>
      </c>
    </row>
    <row r="13" spans="2:6" x14ac:dyDescent="0.45">
      <c r="B13" s="1">
        <v>30</v>
      </c>
      <c r="C13" s="5">
        <f t="shared" si="0"/>
        <v>1.060967242554991</v>
      </c>
      <c r="D13" s="6">
        <f t="shared" si="2"/>
        <v>793.32621462893758</v>
      </c>
      <c r="E13" s="7">
        <f t="shared" si="1"/>
        <v>0.97233776028557373</v>
      </c>
      <c r="F13" s="8">
        <f t="shared" si="3"/>
        <v>788.18113585188894</v>
      </c>
    </row>
    <row r="14" spans="2:6" x14ac:dyDescent="0.45">
      <c r="B14" s="1">
        <v>40</v>
      </c>
      <c r="C14" s="5">
        <f t="shared" si="0"/>
        <v>1.6992444374437514</v>
      </c>
      <c r="D14" s="6">
        <f t="shared" si="2"/>
        <v>804.34861060988806</v>
      </c>
      <c r="E14" s="7">
        <f t="shared" si="1"/>
        <v>1.5342558969552398</v>
      </c>
      <c r="F14" s="8">
        <f t="shared" si="3"/>
        <v>799.52577768109632</v>
      </c>
    </row>
    <row r="15" spans="2:6" x14ac:dyDescent="0.45">
      <c r="B15" s="1">
        <v>50</v>
      </c>
      <c r="C15" s="5">
        <f t="shared" si="0"/>
        <v>2.7215087727214846</v>
      </c>
      <c r="D15" s="6">
        <f t="shared" si="2"/>
        <v>815.68161024702658</v>
      </c>
      <c r="E15" s="7">
        <f t="shared" si="1"/>
        <v>2.4209089202198415</v>
      </c>
      <c r="F15" s="8">
        <f t="shared" si="3"/>
        <v>811.20176567960289</v>
      </c>
    </row>
    <row r="16" spans="2:6" x14ac:dyDescent="0.45">
      <c r="B16" s="1">
        <v>60</v>
      </c>
      <c r="C16" s="5">
        <f t="shared" si="0"/>
        <v>4.3587666593407191</v>
      </c>
      <c r="D16" s="6">
        <f t="shared" si="2"/>
        <v>827.33853006681511</v>
      </c>
      <c r="E16" s="7">
        <f t="shared" si="1"/>
        <v>3.8199625053622861</v>
      </c>
      <c r="F16" s="8">
        <f t="shared" si="3"/>
        <v>823.22383156637306</v>
      </c>
    </row>
    <row r="17" spans="2:6" x14ac:dyDescent="0.45">
      <c r="B17" s="1">
        <v>70</v>
      </c>
      <c r="C17" s="5">
        <f t="shared" si="0"/>
        <v>6.9809978130555796</v>
      </c>
      <c r="D17" s="6">
        <f t="shared" si="2"/>
        <v>839.33345885897199</v>
      </c>
      <c r="E17" s="7">
        <f t="shared" si="1"/>
        <v>6.027535121415724</v>
      </c>
      <c r="F17" s="8">
        <f t="shared" si="3"/>
        <v>835.60759349778345</v>
      </c>
    </row>
    <row r="18" spans="2:6" x14ac:dyDescent="0.45">
      <c r="B18" s="1">
        <v>80</v>
      </c>
      <c r="C18" s="5">
        <f t="shared" si="0"/>
        <v>11.180761503130809</v>
      </c>
      <c r="D18" s="6">
        <f t="shared" si="2"/>
        <v>851.68131448223153</v>
      </c>
      <c r="E18" s="7">
        <f t="shared" si="1"/>
        <v>9.5108733629976854</v>
      </c>
      <c r="F18" s="8">
        <f t="shared" si="3"/>
        <v>848.36962375932899</v>
      </c>
    </row>
    <row r="19" spans="2:6" x14ac:dyDescent="0.45">
      <c r="B19" s="1">
        <v>90</v>
      </c>
      <c r="C19" s="5">
        <f t="shared" si="0"/>
        <v>17.907100265252087</v>
      </c>
      <c r="D19" s="6">
        <f t="shared" si="2"/>
        <v>864.39790575916231</v>
      </c>
      <c r="E19" s="7">
        <f t="shared" si="1"/>
        <v>15.007247623591253</v>
      </c>
      <c r="F19" s="8">
        <f t="shared" si="3"/>
        <v>861.52752275657303</v>
      </c>
    </row>
    <row r="20" spans="2:6" ht="14.65" thickBot="1" x14ac:dyDescent="0.5">
      <c r="B20" s="9">
        <v>100</v>
      </c>
      <c r="C20" s="10">
        <f t="shared" si="0"/>
        <v>28.68</v>
      </c>
      <c r="D20" s="11">
        <f t="shared" si="2"/>
        <v>877.5</v>
      </c>
      <c r="E20" s="12">
        <f t="shared" si="1"/>
        <v>23.68</v>
      </c>
      <c r="F20" s="13">
        <f t="shared" si="3"/>
        <v>875.1</v>
      </c>
    </row>
  </sheetData>
  <mergeCells count="4">
    <mergeCell ref="B7:F7"/>
    <mergeCell ref="C8:D8"/>
    <mergeCell ref="E8:F8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C5D4-2855-4A21-8790-E2913B549DFA}">
  <sheetPr codeName="Sheet6">
    <tabColor theme="9" tint="0.59999389629810485"/>
  </sheetPr>
  <dimension ref="A1:E13"/>
  <sheetViews>
    <sheetView tabSelected="1" zoomScale="115" zoomScaleNormal="115" workbookViewId="0">
      <selection activeCell="A18" sqref="A18"/>
    </sheetView>
  </sheetViews>
  <sheetFormatPr defaultRowHeight="14.25" x14ac:dyDescent="0.45"/>
  <cols>
    <col min="1" max="1" width="39.796875" bestFit="1" customWidth="1"/>
    <col min="2" max="2" width="14.06640625" customWidth="1"/>
    <col min="3" max="3" width="13.6640625" customWidth="1"/>
    <col min="4" max="4" width="18.19921875" customWidth="1"/>
    <col min="5" max="5" width="12.796875" customWidth="1"/>
    <col min="6" max="6" width="14.06640625" customWidth="1"/>
    <col min="7" max="7" width="12.06640625" customWidth="1"/>
  </cols>
  <sheetData>
    <row r="1" spans="1:5" x14ac:dyDescent="0.45">
      <c r="A1" s="21" t="s">
        <v>15</v>
      </c>
      <c r="B1" s="21" t="s">
        <v>13</v>
      </c>
      <c r="C1" s="21" t="s">
        <v>14</v>
      </c>
      <c r="D1" s="21" t="s">
        <v>12</v>
      </c>
      <c r="E1" s="24"/>
    </row>
    <row r="2" spans="1:5" x14ac:dyDescent="0.45">
      <c r="A2" s="22">
        <v>0</v>
      </c>
      <c r="B2" s="22">
        <v>13</v>
      </c>
      <c r="C2" s="7">
        <v>23</v>
      </c>
      <c r="D2" s="6">
        <v>92</v>
      </c>
    </row>
    <row r="3" spans="1:5" x14ac:dyDescent="0.45">
      <c r="A3" s="22">
        <v>0</v>
      </c>
      <c r="B3" s="22">
        <v>12</v>
      </c>
      <c r="C3" s="7">
        <v>22</v>
      </c>
      <c r="D3" s="23">
        <v>92</v>
      </c>
    </row>
    <row r="4" spans="1:5" x14ac:dyDescent="0.45">
      <c r="A4" s="22">
        <v>5</v>
      </c>
      <c r="B4" s="22">
        <v>13</v>
      </c>
      <c r="C4" s="7">
        <v>16.93075</v>
      </c>
      <c r="D4" s="6">
        <v>92</v>
      </c>
    </row>
    <row r="5" spans="1:5" x14ac:dyDescent="0.45">
      <c r="A5" s="22">
        <v>5</v>
      </c>
      <c r="B5" s="22">
        <v>12</v>
      </c>
      <c r="C5" s="7">
        <v>15.94275</v>
      </c>
      <c r="D5" s="6">
        <v>92</v>
      </c>
    </row>
    <row r="6" spans="1:5" x14ac:dyDescent="0.45">
      <c r="A6" s="22">
        <v>10</v>
      </c>
      <c r="B6" s="22">
        <v>13</v>
      </c>
      <c r="C6" s="7">
        <v>13.088999999999999</v>
      </c>
      <c r="D6" s="6">
        <v>92</v>
      </c>
    </row>
    <row r="7" spans="1:5" x14ac:dyDescent="0.45">
      <c r="A7" s="22">
        <v>10</v>
      </c>
      <c r="B7" s="22">
        <v>12</v>
      </c>
      <c r="C7" s="7">
        <v>12.068</v>
      </c>
      <c r="D7" s="6">
        <v>92</v>
      </c>
    </row>
    <row r="8" spans="1:5" x14ac:dyDescent="0.45">
      <c r="A8" s="22">
        <v>20</v>
      </c>
      <c r="B8" s="22">
        <v>13</v>
      </c>
      <c r="C8" s="7">
        <v>9.2469999999999999</v>
      </c>
      <c r="D8" s="23">
        <v>97</v>
      </c>
    </row>
    <row r="9" spans="1:5" x14ac:dyDescent="0.45">
      <c r="A9" s="22">
        <v>20</v>
      </c>
      <c r="B9" s="22">
        <v>12</v>
      </c>
      <c r="C9" s="7">
        <v>8.1870000000000012</v>
      </c>
      <c r="D9" s="23">
        <v>97</v>
      </c>
    </row>
    <row r="10" spans="1:5" x14ac:dyDescent="0.45">
      <c r="A10" s="22">
        <v>30</v>
      </c>
      <c r="B10" s="22">
        <v>13</v>
      </c>
      <c r="C10" s="7">
        <v>7.2330000000000005</v>
      </c>
      <c r="D10" s="23">
        <v>97</v>
      </c>
    </row>
    <row r="11" spans="1:5" x14ac:dyDescent="0.45">
      <c r="A11" s="22">
        <v>30</v>
      </c>
      <c r="B11" s="22">
        <v>12</v>
      </c>
      <c r="C11" s="7">
        <v>6.319</v>
      </c>
      <c r="D11" s="23">
        <v>97</v>
      </c>
    </row>
    <row r="12" spans="1:5" x14ac:dyDescent="0.45">
      <c r="A12" s="22">
        <v>40</v>
      </c>
      <c r="B12" s="22">
        <v>13</v>
      </c>
      <c r="C12" s="7">
        <v>5.2190000000000012</v>
      </c>
      <c r="D12" s="23">
        <v>97</v>
      </c>
    </row>
    <row r="13" spans="1:5" x14ac:dyDescent="0.45">
      <c r="A13" s="22">
        <v>40</v>
      </c>
      <c r="B13" s="22">
        <v>12</v>
      </c>
      <c r="C13" s="7">
        <v>4.4510000000000005</v>
      </c>
      <c r="D13" s="23">
        <v>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Viscosity</vt:lpstr>
      <vt:lpstr>flux_rejection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 Tham</dc:creator>
  <cp:keywords/>
  <dc:description/>
  <cp:lastModifiedBy>Marcus Tham</cp:lastModifiedBy>
  <cp:revision/>
  <dcterms:created xsi:type="dcterms:W3CDTF">2025-08-07T07:06:34Z</dcterms:created>
  <dcterms:modified xsi:type="dcterms:W3CDTF">2026-04-10T07:44:14Z</dcterms:modified>
  <cp:category/>
  <cp:contentStatus/>
</cp:coreProperties>
</file>