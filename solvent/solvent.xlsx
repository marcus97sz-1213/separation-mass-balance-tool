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c922c6a9738126/Documents/Desktop/SepCal_Portfolio/solvent/"/>
    </mc:Choice>
  </mc:AlternateContent>
  <xr:revisionPtr revIDLastSave="51" documentId="11_F25DC773A252ABDACC10480E095A4B565BDE58E8" xr6:coauthVersionLast="47" xr6:coauthVersionMax="47" xr10:uidLastSave="{B77E9C01-58D4-4B89-93FC-6105243B89C3}"/>
  <bookViews>
    <workbookView xWindow="-98" yWindow="-98" windowWidth="19396" windowHeight="11475" xr2:uid="{00000000-000D-0000-FFFF-FFFF00000000}"/>
  </bookViews>
  <sheets>
    <sheet name="acetone" sheetId="1" r:id="rId1"/>
    <sheet name="ethan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B7" i="1"/>
  <c r="B5" i="1"/>
  <c r="B3" i="1"/>
</calcChain>
</file>

<file path=xl/sharedStrings.xml><?xml version="1.0" encoding="utf-8"?>
<sst xmlns="http://schemas.openxmlformats.org/spreadsheetml/2006/main" count="4" uniqueCount="2">
  <si>
    <t>Temperature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</si>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</sst>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2" fillId="0" borderId="0" xfId="0" applyFont="1" applyFill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48FBF-F60A-436E-A28E-F7C2EA6E61A6}" name="solvent_density" displayName="solvent_density" ref="A1:B12" totalsRowShown="0" headerRowDxfId="7" dataDxfId="6">
  <autoFilter ref="A1:B12" xr:uid="{28A48FBF-F60A-436E-A28E-F7C2EA6E61A6}"/>
  <tableColumns count="2">
    <tableColumn id="1" xr3:uid="{0FC3C5E0-885A-41E9-8DD5-93F56AE3E9DD}" name="Temperature" dataDxfId="5"/>
    <tableColumn id="4" xr3:uid="{F6856AB7-C792-4693-B580-E2040320F633}" name="Densit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F037A-0E75-4F7A-8FDA-64A7B2E7D1CC}" name="solvent_density3" displayName="solvent_density3" ref="A1:B12" totalsRowShown="0" headerRowDxfId="3" dataDxfId="2">
  <autoFilter ref="A1:B12" xr:uid="{40FF037A-0E75-4F7A-8FDA-64A7B2E7D1CC}"/>
  <tableColumns count="2">
    <tableColumn id="1" xr3:uid="{C91D1351-B216-4E06-A510-16031DEF22F4}" name="Temperature" dataDxfId="1"/>
    <tableColumn id="4" xr3:uid="{B3A10FBB-126F-4ABF-ACC7-CA6B9806F1E0}" name="Dens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8" sqref="A8"/>
    </sheetView>
  </sheetViews>
  <sheetFormatPr defaultRowHeight="14.25" x14ac:dyDescent="0.45"/>
  <cols>
    <col min="1" max="1" width="17.06640625" bestFit="1" customWidth="1"/>
    <col min="2" max="2" width="13" bestFit="1" customWidth="1"/>
  </cols>
  <sheetData>
    <row r="1" spans="1:2" ht="15" x14ac:dyDescent="0.45">
      <c r="A1" s="1" t="s">
        <v>0</v>
      </c>
      <c r="B1" s="1" t="s">
        <v>1</v>
      </c>
    </row>
    <row r="2" spans="1:2" ht="15" x14ac:dyDescent="0.45">
      <c r="A2" s="2">
        <v>0</v>
      </c>
      <c r="B2" s="3">
        <v>812</v>
      </c>
    </row>
    <row r="3" spans="1:2" ht="15" x14ac:dyDescent="0.45">
      <c r="A3" s="2">
        <v>10</v>
      </c>
      <c r="B3" s="3">
        <f>B2+(solvent_density[[#This Row],[Temperature]]-A2)*(B4-B2)/(A4-A2)</f>
        <v>801</v>
      </c>
    </row>
    <row r="4" spans="1:2" ht="15" x14ac:dyDescent="0.45">
      <c r="A4" s="2">
        <v>20</v>
      </c>
      <c r="B4" s="3">
        <v>790</v>
      </c>
    </row>
    <row r="5" spans="1:2" ht="15" x14ac:dyDescent="0.45">
      <c r="A5" s="2">
        <v>30</v>
      </c>
      <c r="B5" s="3">
        <f>B4+(solvent_density[[#This Row],[Temperature]]-A4)*(B6-B4)/(A6-A4)</f>
        <v>779</v>
      </c>
    </row>
    <row r="6" spans="1:2" ht="15" x14ac:dyDescent="0.45">
      <c r="A6" s="2">
        <v>40</v>
      </c>
      <c r="B6" s="3">
        <v>768</v>
      </c>
    </row>
    <row r="7" spans="1:2" ht="15" x14ac:dyDescent="0.45">
      <c r="A7" s="2">
        <v>50</v>
      </c>
      <c r="B7" s="3">
        <f>B6+(solvent_density[[#This Row],[Temperature]]-A6)*(B8-B6)/(A8-A6)</f>
        <v>756</v>
      </c>
    </row>
    <row r="8" spans="1:2" ht="15" x14ac:dyDescent="0.45">
      <c r="A8" s="2">
        <v>60</v>
      </c>
      <c r="B8" s="3">
        <v>744</v>
      </c>
    </row>
    <row r="9" spans="1:2" ht="15" x14ac:dyDescent="0.45">
      <c r="A9" s="2">
        <v>70</v>
      </c>
      <c r="B9" s="3">
        <f>B8+(solvent_density[[#This Row],[Temperature]]-A8)*(B10-B8)/(A10-A8)</f>
        <v>731.5</v>
      </c>
    </row>
    <row r="10" spans="1:2" ht="15" x14ac:dyDescent="0.45">
      <c r="A10" s="2">
        <v>80</v>
      </c>
      <c r="B10" s="3">
        <v>719</v>
      </c>
    </row>
    <row r="11" spans="1:2" ht="15" x14ac:dyDescent="0.45">
      <c r="A11" s="2">
        <v>90</v>
      </c>
      <c r="B11" s="3">
        <f>B10+(solvent_density[[#This Row],[Temperature]]-A10)*(B12-B10)/(A12-A10)</f>
        <v>704.3</v>
      </c>
    </row>
    <row r="12" spans="1:2" ht="15" x14ac:dyDescent="0.45">
      <c r="A12" s="2">
        <v>100</v>
      </c>
      <c r="B12" s="3">
        <v>689.6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F260-2A58-4D46-8946-55BA03AE28BB}">
  <dimension ref="A1:D13"/>
  <sheetViews>
    <sheetView workbookViewId="0">
      <selection activeCell="A9" sqref="A9"/>
    </sheetView>
  </sheetViews>
  <sheetFormatPr defaultRowHeight="14.25" x14ac:dyDescent="0.45"/>
  <cols>
    <col min="1" max="1" width="17.06640625" bestFit="1" customWidth="1"/>
    <col min="2" max="2" width="13" bestFit="1" customWidth="1"/>
  </cols>
  <sheetData>
    <row r="1" spans="1:4" ht="15" x14ac:dyDescent="0.45">
      <c r="A1" s="1" t="s">
        <v>0</v>
      </c>
      <c r="B1" s="1" t="s">
        <v>1</v>
      </c>
    </row>
    <row r="2" spans="1:4" ht="15" x14ac:dyDescent="0.45">
      <c r="A2" s="2">
        <v>0</v>
      </c>
      <c r="B2" s="3">
        <v>806</v>
      </c>
    </row>
    <row r="3" spans="1:4" ht="15" x14ac:dyDescent="0.45">
      <c r="A3" s="2">
        <v>10</v>
      </c>
      <c r="B3" s="3">
        <v>797</v>
      </c>
      <c r="D3" s="4"/>
    </row>
    <row r="4" spans="1:4" ht="15" x14ac:dyDescent="0.45">
      <c r="A4" s="2">
        <v>20</v>
      </c>
      <c r="B4" s="3">
        <v>789</v>
      </c>
      <c r="D4" s="4"/>
    </row>
    <row r="5" spans="1:4" ht="15" x14ac:dyDescent="0.45">
      <c r="A5" s="2">
        <v>30</v>
      </c>
      <c r="B5" s="3">
        <v>781</v>
      </c>
      <c r="D5" s="4"/>
    </row>
    <row r="6" spans="1:4" ht="15" x14ac:dyDescent="0.45">
      <c r="A6" s="2">
        <v>40</v>
      </c>
      <c r="B6" s="3">
        <v>778</v>
      </c>
      <c r="D6" s="4"/>
    </row>
    <row r="7" spans="1:4" ht="15" x14ac:dyDescent="0.45">
      <c r="A7" s="2">
        <v>50</v>
      </c>
      <c r="B7" s="3">
        <v>765</v>
      </c>
      <c r="D7" s="4"/>
    </row>
    <row r="8" spans="1:4" ht="15" x14ac:dyDescent="0.45">
      <c r="A8" s="5">
        <v>60</v>
      </c>
      <c r="B8" s="6">
        <v>757</v>
      </c>
      <c r="D8" s="4"/>
    </row>
    <row r="9" spans="1:4" ht="15" x14ac:dyDescent="0.45">
      <c r="A9" s="5">
        <v>70</v>
      </c>
      <c r="B9" s="6">
        <v>749</v>
      </c>
      <c r="D9" s="4"/>
    </row>
    <row r="10" spans="1:4" ht="15" x14ac:dyDescent="0.45">
      <c r="A10" s="5">
        <v>80</v>
      </c>
      <c r="B10" s="6">
        <v>741</v>
      </c>
      <c r="D10" s="4"/>
    </row>
    <row r="11" spans="1:4" ht="15" x14ac:dyDescent="0.45">
      <c r="A11" s="5">
        <v>90</v>
      </c>
      <c r="B11" s="6">
        <v>733</v>
      </c>
      <c r="D11" s="4"/>
    </row>
    <row r="12" spans="1:4" ht="15" x14ac:dyDescent="0.45">
      <c r="A12" s="5">
        <v>100</v>
      </c>
      <c r="B12" s="6">
        <v>725</v>
      </c>
      <c r="D12" s="4"/>
    </row>
    <row r="13" spans="1:4" x14ac:dyDescent="0.45">
      <c r="D1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acetone</vt:lpstr>
      <vt:lpstr>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Tham</dc:creator>
  <cp:lastModifiedBy>Marcus Tham</cp:lastModifiedBy>
  <dcterms:created xsi:type="dcterms:W3CDTF">2015-06-05T18:17:20Z</dcterms:created>
  <dcterms:modified xsi:type="dcterms:W3CDTF">2026-04-10T07:57:53Z</dcterms:modified>
</cp:coreProperties>
</file>